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omtj\Downloads\ts-xmlgen\data\"/>
    </mc:Choice>
  </mc:AlternateContent>
  <xr:revisionPtr revIDLastSave="0" documentId="13_ncr:1_{ABCE6737-9A92-4499-8100-5BCCB4BD836B}" xr6:coauthVersionLast="47" xr6:coauthVersionMax="47" xr10:uidLastSave="{00000000-0000-0000-0000-000000000000}"/>
  <bookViews>
    <workbookView xWindow="-120" yWindow="-120" windowWidth="29040" windowHeight="15720" activeTab="2" xr2:uid="{EE2F3F3C-0A10-4F11-8E22-CD5DDA4DB792}"/>
  </bookViews>
  <sheets>
    <sheet name="device" sheetId="2" r:id="rId1"/>
    <sheet name="device_option" sheetId="3" r:id="rId2"/>
    <sheet name="template_item" sheetId="7" r:id="rId3"/>
    <sheet name="template" sheetId="6" r:id="rId4"/>
    <sheet name="placement_rule" sheetId="5" r:id="rId5"/>
    <sheet name="object_definition" sheetId="4" r:id="rId6"/>
  </sheets>
  <definedNames>
    <definedName name="DonnéesExternes_1" localSheetId="0" hidden="1">device!$A$1:$I$7</definedName>
    <definedName name="DonnéesExternes_1" localSheetId="1" hidden="1">device_option!$A$1:$C$3</definedName>
    <definedName name="DonnéesExternes_1" localSheetId="5" hidden="1">object_definition!$A$1:$F$8</definedName>
    <definedName name="DonnéesExternes_2" localSheetId="4" hidden="1">placement_rule!$A$1:$L$6</definedName>
    <definedName name="DonnéesExternes_3" localSheetId="3" hidden="1">template!$A$1:$G$17</definedName>
    <definedName name="DonnéesExternes_4" localSheetId="2" hidden="1">template_item!$A$1:$U$13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6" l="1"/>
  <c r="G20" i="6"/>
  <c r="G21" i="6"/>
  <c r="G22" i="6"/>
  <c r="G23" i="6"/>
  <c r="G1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2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9E3EA-74F0-4E77-95A0-A65CF7B82873}" keepAlive="1" name="Requête - device" description="Connexion à la requête « device » dans le classeur." type="5" refreshedVersion="8" background="1" saveData="1">
    <dbPr connection="Provider=Microsoft.Mashup.OleDb.1;Data Source=$Workbook$;Location=device;Extended Properties=&quot;&quot;" command="SELECT * FROM [device]"/>
  </connection>
  <connection id="2" xr16:uid="{C9900A8C-FECF-4952-92FC-3697244DA5CB}" keepAlive="1" name="Requête - device_option" description="Connexion à la requête « device_option » dans le classeur." type="5" refreshedVersion="8" background="1" saveData="1">
    <dbPr connection="Provider=Microsoft.Mashup.OleDb.1;Data Source=$Workbook$;Location=device_option;Extended Properties=&quot;&quot;" command="SELECT * FROM [device_option]"/>
  </connection>
  <connection id="3" xr16:uid="{C9468DA9-9721-4641-A174-5B354D936AFA}" keepAlive="1" name="Requête - object_definition" description="Connexion à la requête « object_definition » dans le classeur." type="5" refreshedVersion="8" background="1" saveData="1">
    <dbPr connection="Provider=Microsoft.Mashup.OleDb.1;Data Source=$Workbook$;Location=object_definition;Extended Properties=&quot;&quot;" command="SELECT * FROM [object_definition]"/>
  </connection>
  <connection id="4" xr16:uid="{74456247-B6E0-4D52-B968-B79BE4A7E6B4}" keepAlive="1" name="Requête - placement_rule" description="Connexion à la requête « placement_rule » dans le classeur." type="5" refreshedVersion="8" background="1" saveData="1">
    <dbPr connection="Provider=Microsoft.Mashup.OleDb.1;Data Source=$Workbook$;Location=placement_rule;Extended Properties=&quot;&quot;" command="SELECT * FROM [placement_rule]"/>
  </connection>
  <connection id="5" xr16:uid="{FE7F5243-47D7-464F-9036-8DCBD0D0CB3D}" keepAlive="1" name="Requête - template" description="Connexion à la requête « template » dans le classeur." type="5" refreshedVersion="8" background="1" saveData="1">
    <dbPr connection="Provider=Microsoft.Mashup.OleDb.1;Data Source=$Workbook$;Location=template;Extended Properties=&quot;&quot;" command="SELECT * FROM [template]"/>
  </connection>
  <connection id="6" xr16:uid="{3ACBBA38-2C2D-440F-ADE0-D4D649D864ED}" keepAlive="1" name="Requête - template_item" description="Connexion à la requête « template_item » dans le classeur." type="5" refreshedVersion="8" background="1" saveData="1">
    <dbPr connection="Provider=Microsoft.Mashup.OleDb.1;Data Source=$Workbook$;Location=template_item;Extended Properties=&quot;&quot;" command="SELECT * FROM [template_item]"/>
  </connection>
</connections>
</file>

<file path=xl/sharedStrings.xml><?xml version="1.0" encoding="utf-8"?>
<sst xmlns="http://schemas.openxmlformats.org/spreadsheetml/2006/main" count="326" uniqueCount="136">
  <si>
    <t>id</t>
  </si>
  <si>
    <t>code_morpho</t>
  </si>
  <si>
    <t>label</t>
  </si>
  <si>
    <t>root_template_id</t>
  </si>
  <si>
    <t>centrale_num</t>
  </si>
  <si>
    <t>rft_path</t>
  </si>
  <si>
    <t>bim_dyn_json</t>
  </si>
  <si>
    <t>globals_json</t>
  </si>
  <si>
    <t>overrides_json</t>
  </si>
  <si>
    <t>CARRIER_FAMILY_TEMPLATE</t>
  </si>
  <si>
    <t>[]</t>
  </si>
  <si>
    <t>{"tableGMV":{"diam":1065,"haut":423}}</t>
  </si>
  <si>
    <t/>
  </si>
  <si>
    <t>device_id</t>
  </si>
  <si>
    <t>option_id</t>
  </si>
  <si>
    <t>required</t>
  </si>
  <si>
    <t>name</t>
  </si>
  <si>
    <t>comment</t>
  </si>
  <si>
    <t>dimension</t>
  </si>
  <si>
    <t>param_letters</t>
  </si>
  <si>
    <t>help_json</t>
  </si>
  <si>
    <t>VOLUME</t>
  </si>
  <si>
    <t>PROFILE_TRAPEZE</t>
  </si>
  <si>
    <t>A;B;C;D;E</t>
  </si>
  <si>
    <t>PLAQUE</t>
  </si>
  <si>
    <t>A;B;C</t>
  </si>
  <si>
    <t>CYLINDRE</t>
  </si>
  <si>
    <t>A;B</t>
  </si>
  <si>
    <t>CONE</t>
  </si>
  <si>
    <t>FONCTION</t>
  </si>
  <si>
    <t>CERCLE</t>
  </si>
  <si>
    <t>QUOTATION</t>
  </si>
  <si>
    <t>COTE</t>
  </si>
  <si>
    <t>A;B;C;D;E;F;G;H;I</t>
  </si>
  <si>
    <t>SYMBOLE_DIVERS</t>
  </si>
  <si>
    <t>TEXTE</t>
  </si>
  <si>
    <t>A;B;C;D</t>
  </si>
  <si>
    <t>owner_template_id</t>
  </si>
  <si>
    <t>target_slot_name</t>
  </si>
  <si>
    <t>rule_type</t>
  </si>
  <si>
    <t>axis</t>
  </si>
  <si>
    <t>direction</t>
  </si>
  <si>
    <t>spacing_expr</t>
  </si>
  <si>
    <t>start_offset_expr</t>
  </si>
  <si>
    <t>start_rot_expr</t>
  </si>
  <si>
    <t>apply_rotation</t>
  </si>
  <si>
    <t>condition_expr</t>
  </si>
  <si>
    <t>order_index</t>
  </si>
  <si>
    <t>modules</t>
  </si>
  <si>
    <t>LINEAR</t>
  </si>
  <si>
    <t>X</t>
  </si>
  <si>
    <t>ref(prev/1).A</t>
  </si>
  <si>
    <t>0;0;0</t>
  </si>
  <si>
    <t>code</t>
  </si>
  <si>
    <t>version</t>
  </si>
  <si>
    <t>anchor_item_num</t>
  </si>
  <si>
    <t>normalize_anchor_rot</t>
  </si>
  <si>
    <t>created_at</t>
  </si>
  <si>
    <t>FLECHE</t>
  </si>
  <si>
    <t>Fleche standard</t>
  </si>
  <si>
    <t>template_id</t>
  </si>
  <si>
    <t>item_num</t>
  </si>
  <si>
    <t>kind</t>
  </si>
  <si>
    <t>object_def_id</t>
  </si>
  <si>
    <t>ref_template_id</t>
  </si>
  <si>
    <t>slot_name</t>
  </si>
  <si>
    <t>repeat_expr</t>
  </si>
  <si>
    <t>drawing_num</t>
  </si>
  <si>
    <t>parent_item_num</t>
  </si>
  <si>
    <t>parent_item_num2</t>
  </si>
  <si>
    <t>pos_x_expr</t>
  </si>
  <si>
    <t>pos_y_expr</t>
  </si>
  <si>
    <t>pos_z_expr</t>
  </si>
  <si>
    <t>rot_x_expr</t>
  </si>
  <si>
    <t>rot_y_expr</t>
  </si>
  <si>
    <t>rot_z_expr</t>
  </si>
  <si>
    <t>params_json</t>
  </si>
  <si>
    <t>visibility_json</t>
  </si>
  <si>
    <t>misc_json</t>
  </si>
  <si>
    <t>enabled_expr</t>
  </si>
  <si>
    <t>OBJECT</t>
  </si>
  <si>
    <t>0</t>
  </si>
  <si>
    <t>{"A":"30","B":"100"}</t>
  </si>
  <si>
    <t>{}</t>
  </si>
  <si>
    <t>{"LAYER":"DRY_SYMBOL","R":150,"G":150,"B":150}</t>
  </si>
  <si>
    <t>local(1).B</t>
  </si>
  <si>
    <t>{"A":"75","B":"50"}</t>
  </si>
  <si>
    <t>{"LAYER":"DRY_CORPS","R":200,"G":200,"B":200,"BIM_MATERIAUX":"C_GALVA"}</t>
  </si>
  <si>
    <t>{"A":"1065","B":"423"}</t>
  </si>
  <si>
    <t>{"LAYER":"DRY_CORPS","R":150,"G":150,"B":150,"BIM_MATERIAUX":"C_9005"}</t>
  </si>
  <si>
    <t>TEMPLATE_REF</t>
  </si>
  <si>
    <t>fleche</t>
  </si>
  <si>
    <t>MODULE_SHI_S</t>
  </si>
  <si>
    <t>Module SHI taille S</t>
  </si>
  <si>
    <t>MODULE_SHI_M</t>
  </si>
  <si>
    <t>MODULE_SHI_L</t>
  </si>
  <si>
    <t>Module SHI taille M</t>
  </si>
  <si>
    <t>Module SHI taille L</t>
  </si>
  <si>
    <t>{"A":"1600","B":"1170","C":"510"}</t>
  </si>
  <si>
    <t>local(1).pz + local(1).C/2</t>
  </si>
  <si>
    <t>local(2).pz+ local(2).B + 75</t>
  </si>
  <si>
    <t xml:space="preserve">Opera SHI 1GMV 1L </t>
  </si>
  <si>
    <t>Appareil SHI 3 GMV</t>
  </si>
  <si>
    <t>Appareil SHI 2 GMV</t>
  </si>
  <si>
    <t>Appareil SHI 1 GMV</t>
  </si>
  <si>
    <t>Appareil SHI 4 GMV</t>
  </si>
  <si>
    <t>Appareil SHI 5 GMV</t>
  </si>
  <si>
    <t>Appareil SHI 6 GMV</t>
  </si>
  <si>
    <t>{"A":"950","B":"1170","C":"510"}</t>
  </si>
  <si>
    <t>{"A":"1900","B":"1170","C":"510"}</t>
  </si>
  <si>
    <t>APPAREIL_SHI 1L S1</t>
  </si>
  <si>
    <t>APPAREIL_SHI 1L S2</t>
  </si>
  <si>
    <t>APPAREIL_SHI 1L S3</t>
  </si>
  <si>
    <t>APPAREIL_SHI 1L S4</t>
  </si>
  <si>
    <t>APPAREIL_SHI 1L S5</t>
  </si>
  <si>
    <t>APPAREIL_SHI 1L S6</t>
  </si>
  <si>
    <t>APPAREIL_SHI 1L M1</t>
  </si>
  <si>
    <t>APPAREIL_SHI 1L M2</t>
  </si>
  <si>
    <t>APPAREIL_SHI 1L M3</t>
  </si>
  <si>
    <t>APPAREIL_SHI 1L M4</t>
  </si>
  <si>
    <t>APPAREIL_SHI 1L M5</t>
  </si>
  <si>
    <t>APPAREIL_SHI 1L M6</t>
  </si>
  <si>
    <t>APPAREIL_SHI 1L L1</t>
  </si>
  <si>
    <t>APPAREIL_SHI 1L L2</t>
  </si>
  <si>
    <t>APPAREIL_SHI 1L L3</t>
  </si>
  <si>
    <t>APPAREIL_SHI 1L L4</t>
  </si>
  <si>
    <t>APPAREIL_SHI 1L L5</t>
  </si>
  <si>
    <t>APPAREIL_SHI 1L L6</t>
  </si>
  <si>
    <t>OPERA_DEMO_2</t>
  </si>
  <si>
    <t xml:space="preserve">Opera SHI 1GMV 2L </t>
  </si>
  <si>
    <t>OPERA_DEMO_3</t>
  </si>
  <si>
    <t>OPERA_DEMO_4</t>
  </si>
  <si>
    <t xml:space="preserve">Opera SHI 1GMV 3L </t>
  </si>
  <si>
    <t>OPERA_DEMO_1</t>
  </si>
  <si>
    <t>OPERA_DEMO_5</t>
  </si>
  <si>
    <t>OPERA_DEMO_6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</si>
</sst>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2" fillId="0" borderId="0" xfId="1"/>
    <xf numFmtId="22" fontId="0" fillId="0" borderId="1" xfId="0" applyNumberFormat="1" applyBorder="1"/>
  </cellXfs>
  <cellStyles count="2">
    <cellStyle name="Lien hypertexte" xfId="1" builtinId="8"/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2C0C896-A824-46EA-A9CE-C8F57A1B493F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2" name="code_morpho" tableColumnId="2"/>
      <queryTableField id="3" name="label" tableColumnId="3"/>
      <queryTableField id="4" name="root_template_id" tableColumnId="4"/>
      <queryTableField id="5" name="centrale_num" tableColumnId="5"/>
      <queryTableField id="6" name="rft_path" tableColumnId="6"/>
      <queryTableField id="9" name="bim_dyn_json" tableColumnId="9"/>
      <queryTableField id="10" name="globals_json" tableColumnId="10"/>
      <queryTableField id="11" name="overrides_json" tableColumnId="11"/>
    </queryTableFields>
    <queryTableDeletedFields count="2">
      <deletedField name="application_json"/>
      <deletedField name="bim_attrs_js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AE5A5779-4DF5-463A-81D3-0C70011F10DD}" autoFormatId="16" applyNumberFormats="0" applyBorderFormats="0" applyFontFormats="0" applyPatternFormats="0" applyAlignmentFormats="0" applyWidthHeightFormats="0">
  <queryTableRefresh nextId="4">
    <queryTableFields count="3">
      <queryTableField id="1" name="device_id" tableColumnId="1"/>
      <queryTableField id="2" name="option_id" tableColumnId="2"/>
      <queryTableField id="3" name="require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6" xr16:uid="{D471266A-5415-4C79-A727-8AEECD3B2CE9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template_id" tableColumnId="2"/>
      <queryTableField id="3" name="item_num" tableColumnId="3"/>
      <queryTableField id="4" name="kind" tableColumnId="4"/>
      <queryTableField id="5" name="object_def_id" tableColumnId="5"/>
      <queryTableField id="6" name="ref_template_id" tableColumnId="6"/>
      <queryTableField id="7" name="slot_name" tableColumnId="7"/>
      <queryTableField id="8" name="repeat_expr" tableColumnId="8"/>
      <queryTableField id="9" name="drawing_num" tableColumnId="9"/>
      <queryTableField id="10" name="parent_item_num" tableColumnId="10"/>
      <queryTableField id="11" name="parent_item_num2" tableColumnId="11"/>
      <queryTableField id="12" name="pos_x_expr" tableColumnId="12"/>
      <queryTableField id="13" name="pos_y_expr" tableColumnId="13"/>
      <queryTableField id="14" name="pos_z_expr" tableColumnId="14"/>
      <queryTableField id="15" name="rot_x_expr" tableColumnId="15"/>
      <queryTableField id="16" name="rot_y_expr" tableColumnId="16"/>
      <queryTableField id="17" name="rot_z_expr" tableColumnId="17"/>
      <queryTableField id="18" name="params_json" tableColumnId="18"/>
      <queryTableField id="19" name="visibility_json" tableColumnId="19"/>
      <queryTableField id="20" name="misc_json" tableColumnId="20"/>
      <queryTableField id="21" name="enabled_expr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1226423F-D378-42E9-A089-5C578B659F3E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ode" tableColumnId="2"/>
      <queryTableField id="3" name="label" tableColumnId="3"/>
      <queryTableField id="4" name="version" tableColumnId="4"/>
      <queryTableField id="5" name="anchor_item_num" tableColumnId="5"/>
      <queryTableField id="6" name="normalize_anchor_rot" tableColumnId="6"/>
      <queryTableField id="7" name="created_a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D5CF449A-F56A-45B0-8C04-E6C83C7E1B08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owner_template_id" tableColumnId="2"/>
      <queryTableField id="3" name="target_slot_name" tableColumnId="3"/>
      <queryTableField id="4" name="rule_type" tableColumnId="4"/>
      <queryTableField id="5" name="axis" tableColumnId="5"/>
      <queryTableField id="6" name="direction" tableColumnId="6"/>
      <queryTableField id="7" name="spacing_expr" tableColumnId="7"/>
      <queryTableField id="8" name="start_offset_expr" tableColumnId="8"/>
      <queryTableField id="9" name="start_rot_expr" tableColumnId="9"/>
      <queryTableField id="10" name="apply_rotation" tableColumnId="10"/>
      <queryTableField id="11" name="condition_expr" tableColumnId="11"/>
      <queryTableField id="12" name="order_index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61FD1706-9611-49EA-AE9F-860B22356E49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comment" tableColumnId="3"/>
      <queryTableField id="4" name="dimension" tableColumnId="4"/>
      <queryTableField id="5" name="param_letters" tableColumnId="5"/>
      <queryTableField id="6" name="help_js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B74C2-729B-4D55-87C4-DFED71DFC00E}" name="device" displayName="device" ref="A1:I7" tableType="queryTable" totalsRowShown="0">
  <autoFilter ref="A1:I7" xr:uid="{819B74C2-729B-4D55-87C4-DFED71DFC00E}"/>
  <tableColumns count="9">
    <tableColumn id="1" xr3:uid="{B03A400C-18EB-4261-BF71-A4321B04B495}" uniqueName="1" name="id" queryTableFieldId="1"/>
    <tableColumn id="2" xr3:uid="{5747F514-0BF5-463C-AF9F-F5BAE2B69DFB}" uniqueName="2" name="code_morpho" queryTableFieldId="2" dataDxfId="26"/>
    <tableColumn id="3" xr3:uid="{656BB286-AA11-4136-BA0C-28F4493434C2}" uniqueName="3" name="label" queryTableFieldId="3" dataDxfId="25"/>
    <tableColumn id="4" xr3:uid="{4426AEF9-78AA-46A5-840F-B61C67A85AD1}" uniqueName="4" name="root_template_id" queryTableFieldId="4"/>
    <tableColumn id="5" xr3:uid="{1DBD46C8-C4FB-4F4F-85F5-EB67001B2CC6}" uniqueName="5" name="centrale_num" queryTableFieldId="5"/>
    <tableColumn id="6" xr3:uid="{74354608-6231-409A-814B-16BCDA064F90}" uniqueName="6" name="rft_path" queryTableFieldId="6" dataDxfId="24"/>
    <tableColumn id="9" xr3:uid="{5F0B44C7-A46A-44E8-BB84-723D91F88F85}" uniqueName="9" name="bim_dyn_json" queryTableFieldId="9" dataDxfId="23"/>
    <tableColumn id="10" xr3:uid="{7E727121-AE4E-4AE2-823C-80213B301A74}" uniqueName="10" name="globals_json" queryTableFieldId="10" dataDxfId="22"/>
    <tableColumn id="11" xr3:uid="{D0B3F740-9DA3-4560-BB23-02D03951208E}" uniqueName="11" name="overrides_json" queryTableFieldId="11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5E947-18CB-4BBA-958E-416C412E844E}" name="device_option" displayName="device_option" ref="A1:C3" tableType="queryTable" totalsRowShown="0">
  <autoFilter ref="A1:C3" xr:uid="{2FA5E947-18CB-4BBA-958E-416C412E844E}"/>
  <tableColumns count="3">
    <tableColumn id="1" xr3:uid="{FC9569BE-82BD-41A0-9483-5576822D6328}" uniqueName="1" name="device_id" queryTableFieldId="1"/>
    <tableColumn id="2" xr3:uid="{2C9C5F19-B33B-474E-8823-EF9C77D3228A}" uniqueName="2" name="option_id" queryTableFieldId="2"/>
    <tableColumn id="3" xr3:uid="{FC2EA703-7FC4-489A-A9E3-11723CF5C56A}" uniqueName="3" name="require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D940F4-FF03-40E2-9362-4E473D7F4F91}" name="template_item" displayName="template_item" ref="A1:U13" tableType="queryTable" totalsRowShown="0">
  <autoFilter ref="A1:U13" xr:uid="{8DD940F4-FF03-40E2-9362-4E473D7F4F91}"/>
  <tableColumns count="21">
    <tableColumn id="1" xr3:uid="{2062B4B6-EC0F-4FA1-A0E1-CF23D8C0F3ED}" uniqueName="1" name="id" queryTableFieldId="1"/>
    <tableColumn id="2" xr3:uid="{3307646D-DF74-467E-8FCC-A61D1867EDE7}" uniqueName="2" name="template_id" queryTableFieldId="2"/>
    <tableColumn id="3" xr3:uid="{744B77B8-CB99-4569-A66E-C3F1C9CDF91B}" uniqueName="3" name="item_num" queryTableFieldId="3"/>
    <tableColumn id="4" xr3:uid="{DFBC3663-AE82-4EF0-A3FD-216F08ECCF21}" uniqueName="4" name="kind" queryTableFieldId="4" dataDxfId="20"/>
    <tableColumn id="5" xr3:uid="{7A19187E-ABE5-4708-8D03-94CF6F954F80}" uniqueName="5" name="object_def_id" queryTableFieldId="5"/>
    <tableColumn id="6" xr3:uid="{7BB2AA89-DAE7-4DA8-BE0F-6D2D6183BAEA}" uniqueName="6" name="ref_template_id" queryTableFieldId="6"/>
    <tableColumn id="7" xr3:uid="{389EED5C-2D7D-4451-8E9F-A2225EA0717F}" uniqueName="7" name="slot_name" queryTableFieldId="7" dataDxfId="19"/>
    <tableColumn id="8" xr3:uid="{54D83350-2638-4194-9B94-6570EBE9C5A5}" uniqueName="8" name="repeat_expr" queryTableFieldId="8"/>
    <tableColumn id="9" xr3:uid="{CBFC563D-9ABF-4F3F-9A96-0B34BF4199B6}" uniqueName="9" name="drawing_num" queryTableFieldId="9"/>
    <tableColumn id="10" xr3:uid="{5EB3104D-1C8B-4227-BC84-DE86E425BBEA}" uniqueName="10" name="parent_item_num" queryTableFieldId="10" dataDxfId="18"/>
    <tableColumn id="11" xr3:uid="{A57B2362-1C6F-4078-B8A2-7D2FFF7EED56}" uniqueName="11" name="parent_item_num2" queryTableFieldId="11" dataDxfId="17"/>
    <tableColumn id="12" xr3:uid="{611D9351-DC40-476E-B284-C2AE473AAF8A}" uniqueName="12" name="pos_x_expr" queryTableFieldId="12"/>
    <tableColumn id="13" xr3:uid="{E4AA20FE-93FF-4DEA-8702-C57229D85483}" uniqueName="13" name="pos_y_expr" queryTableFieldId="13"/>
    <tableColumn id="14" xr3:uid="{EE28CADB-835A-42FA-BDC2-4CE318710048}" uniqueName="14" name="pos_z_expr" queryTableFieldId="14" dataDxfId="16"/>
    <tableColumn id="15" xr3:uid="{6102DA96-36B9-4E0D-B30E-FC0A696706E7}" uniqueName="15" name="rot_x_expr" queryTableFieldId="15"/>
    <tableColumn id="16" xr3:uid="{956FB454-1295-471B-8C32-604F38E42B45}" uniqueName="16" name="rot_y_expr" queryTableFieldId="16"/>
    <tableColumn id="17" xr3:uid="{EFD0B0AF-FC03-49F9-ADC7-F0314851F4E1}" uniqueName="17" name="rot_z_expr" queryTableFieldId="17"/>
    <tableColumn id="18" xr3:uid="{8904D5DA-B2B1-4362-8022-1B6F0B5B5E9F}" uniqueName="18" name="params_json" queryTableFieldId="18" dataDxfId="15"/>
    <tableColumn id="19" xr3:uid="{71F74140-FEBE-4B61-9D80-19042A632ED9}" uniqueName="19" name="visibility_json" queryTableFieldId="19" dataDxfId="14"/>
    <tableColumn id="20" xr3:uid="{331D0782-9D56-4140-BF56-E6F2851FA80B}" uniqueName="20" name="misc_json" queryTableFieldId="20" dataDxfId="13"/>
    <tableColumn id="21" xr3:uid="{70D198ED-18CA-475D-8FB6-02C5447E2F66}" uniqueName="21" name="enabled_expr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E5F12C-5C8A-4EA0-B94D-EC73C14A0971}" name="template" displayName="template" ref="A1:G17" tableType="queryTable" totalsRowShown="0">
  <autoFilter ref="A1:G17" xr:uid="{33E5F12C-5C8A-4EA0-B94D-EC73C14A0971}"/>
  <tableColumns count="7">
    <tableColumn id="1" xr3:uid="{93C3FF09-5D8A-4E6E-9279-EF0E79C1B783}" uniqueName="1" name="id" queryTableFieldId="1"/>
    <tableColumn id="2" xr3:uid="{9435A35B-3048-40E4-BFC1-180CE485B8D8}" uniqueName="2" name="code" queryTableFieldId="2" dataDxfId="12"/>
    <tableColumn id="3" xr3:uid="{C120EAE3-C1C4-4B00-B380-05A88D5270F3}" uniqueName="3" name="label" queryTableFieldId="3" dataDxfId="11"/>
    <tableColumn id="4" xr3:uid="{8B85FC9A-B719-420E-8A17-82AA8EF41513}" uniqueName="4" name="version" queryTableFieldId="4"/>
    <tableColumn id="5" xr3:uid="{179703AF-18E0-4E34-B715-B65D6C7CA8A0}" uniqueName="5" name="anchor_item_num" queryTableFieldId="5"/>
    <tableColumn id="6" xr3:uid="{0810DC25-9A37-4278-9198-D82B90549BC6}" uniqueName="6" name="normalize_anchor_rot" queryTableFieldId="6"/>
    <tableColumn id="7" xr3:uid="{F3D2C7B0-95A2-4D12-BF28-9151FE81953A}" uniqueName="7" name="created_at" queryTableFieldId="7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9F590-484F-40E5-AFCA-410B7446C169}" name="placement_rule" displayName="placement_rule" ref="A1:L6" tableType="queryTable" totalsRowShown="0">
  <autoFilter ref="A1:L6" xr:uid="{0B19F590-484F-40E5-AFCA-410B7446C169}"/>
  <tableColumns count="12">
    <tableColumn id="1" xr3:uid="{9A00E444-2B5C-4D1E-B039-8BBE52E2511E}" uniqueName="1" name="id" queryTableFieldId="1"/>
    <tableColumn id="2" xr3:uid="{ED1DB4A8-CF60-4B6F-8499-AE0D392D56E0}" uniqueName="2" name="owner_template_id" queryTableFieldId="2"/>
    <tableColumn id="3" xr3:uid="{D71E6C9C-C449-4EAD-AB82-DF5E48EF5955}" uniqueName="3" name="target_slot_name" queryTableFieldId="3" dataDxfId="9"/>
    <tableColumn id="4" xr3:uid="{C79A0E4B-CE7B-485C-A05D-5D5317EBDF9F}" uniqueName="4" name="rule_type" queryTableFieldId="4" dataDxfId="8"/>
    <tableColumn id="5" xr3:uid="{112496E2-5CCF-4910-ADBA-423F0CF31D94}" uniqueName="5" name="axis" queryTableFieldId="5" dataDxfId="7"/>
    <tableColumn id="6" xr3:uid="{8DFD6405-7043-48B5-A1CA-E0ED1C61DBA8}" uniqueName="6" name="direction" queryTableFieldId="6"/>
    <tableColumn id="7" xr3:uid="{CC8C5F05-5764-464E-930F-CC714F7F056E}" uniqueName="7" name="spacing_expr" queryTableFieldId="7" dataDxfId="6"/>
    <tableColumn id="8" xr3:uid="{24C50A7E-08A9-47F9-81BA-05C441E38392}" uniqueName="8" name="start_offset_expr" queryTableFieldId="8"/>
    <tableColumn id="9" xr3:uid="{75986540-73A1-46D2-BF65-C8DA7612460C}" uniqueName="9" name="start_rot_expr" queryTableFieldId="9" dataDxfId="5"/>
    <tableColumn id="10" xr3:uid="{191EF1CE-3069-456C-8FDD-E4C1A474D2CD}" uniqueName="10" name="apply_rotation" queryTableFieldId="10"/>
    <tableColumn id="11" xr3:uid="{1CB02E17-607B-46D1-8A9E-FC3E547740E2}" uniqueName="11" name="condition_expr" queryTableFieldId="11" dataDxfId="4"/>
    <tableColumn id="12" xr3:uid="{599BE624-5A63-4D6C-86DE-34806EAC57CD}" uniqueName="12" name="order_index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9C82C-4019-48EA-90F4-1F700A3EED44}" name="object_definition" displayName="object_definition" ref="A1:F8" tableType="queryTable" totalsRowShown="0">
  <autoFilter ref="A1:F8" xr:uid="{F929C82C-4019-48EA-90F4-1F700A3EED44}"/>
  <tableColumns count="6">
    <tableColumn id="1" xr3:uid="{47DFF8CF-CA20-4C7C-A49E-F223E1333EB2}" uniqueName="1" name="id" queryTableFieldId="1"/>
    <tableColumn id="2" xr3:uid="{F8E4ED14-A836-4740-B3A1-066BCE68A4C4}" uniqueName="2" name="name" queryTableFieldId="2" dataDxfId="3"/>
    <tableColumn id="3" xr3:uid="{C911142E-01B4-4640-8A1E-2CFF293C2948}" uniqueName="3" name="comment" queryTableFieldId="3" dataDxfId="2"/>
    <tableColumn id="4" xr3:uid="{E02EED9A-E24A-495F-956F-317FE38F76F7}" uniqueName="4" name="dimension" queryTableFieldId="4"/>
    <tableColumn id="5" xr3:uid="{2C772BF5-26E1-4206-AE80-9030453C320C}" uniqueName="5" name="param_letters" queryTableFieldId="5" dataDxfId="1"/>
    <tableColumn id="6" xr3:uid="{2BE4C2CE-9C8C-406A-836C-948C9355D333}" uniqueName="6" name="help_js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6905-6F4B-458A-BF88-CC57D0C8F7B0}">
  <dimension ref="A1:I7"/>
  <sheetViews>
    <sheetView workbookViewId="0">
      <selection activeCell="I1" sqref="I1"/>
    </sheetView>
  </sheetViews>
  <sheetFormatPr baseColWidth="10" defaultRowHeight="15" x14ac:dyDescent="0.25"/>
  <cols>
    <col min="1" max="1" width="5" bestFit="1" customWidth="1"/>
    <col min="2" max="2" width="15.5703125" bestFit="1" customWidth="1"/>
    <col min="3" max="3" width="21.7109375" bestFit="1" customWidth="1"/>
    <col min="4" max="4" width="18.7109375" bestFit="1" customWidth="1"/>
    <col min="5" max="5" width="15.5703125" bestFit="1" customWidth="1"/>
    <col min="6" max="6" width="25.140625" bestFit="1" customWidth="1"/>
    <col min="7" max="7" width="15.5703125" bestFit="1" customWidth="1"/>
    <col min="8" max="8" width="34.4257812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133</v>
      </c>
      <c r="C2" t="s">
        <v>101</v>
      </c>
      <c r="D2">
        <v>5</v>
      </c>
      <c r="E2">
        <v>1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5">
      <c r="A3">
        <v>1</v>
      </c>
      <c r="B3" t="s">
        <v>128</v>
      </c>
      <c r="C3" t="s">
        <v>129</v>
      </c>
      <c r="D3">
        <v>6</v>
      </c>
      <c r="E3">
        <v>1</v>
      </c>
      <c r="F3" t="s">
        <v>9</v>
      </c>
      <c r="G3" t="s">
        <v>10</v>
      </c>
      <c r="H3" t="s">
        <v>11</v>
      </c>
      <c r="I3" t="s">
        <v>12</v>
      </c>
    </row>
    <row r="4" spans="1:9" x14ac:dyDescent="0.25">
      <c r="A4">
        <v>1</v>
      </c>
      <c r="B4" t="s">
        <v>130</v>
      </c>
      <c r="C4" t="s">
        <v>132</v>
      </c>
      <c r="D4">
        <v>7</v>
      </c>
      <c r="E4">
        <v>1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25">
      <c r="A5">
        <v>1</v>
      </c>
      <c r="B5" t="s">
        <v>131</v>
      </c>
      <c r="C5" t="s">
        <v>101</v>
      </c>
      <c r="D5">
        <v>8</v>
      </c>
      <c r="E5">
        <v>1</v>
      </c>
      <c r="F5" t="s">
        <v>9</v>
      </c>
      <c r="G5" t="s">
        <v>10</v>
      </c>
      <c r="H5" t="s">
        <v>11</v>
      </c>
      <c r="I5" t="s">
        <v>12</v>
      </c>
    </row>
    <row r="6" spans="1:9" x14ac:dyDescent="0.25">
      <c r="A6">
        <v>1</v>
      </c>
      <c r="B6" t="s">
        <v>134</v>
      </c>
      <c r="C6" t="s">
        <v>129</v>
      </c>
      <c r="D6">
        <v>9</v>
      </c>
      <c r="E6">
        <v>1</v>
      </c>
      <c r="F6" t="s">
        <v>9</v>
      </c>
      <c r="G6" t="s">
        <v>10</v>
      </c>
      <c r="H6" t="s">
        <v>11</v>
      </c>
      <c r="I6" t="s">
        <v>12</v>
      </c>
    </row>
    <row r="7" spans="1:9" x14ac:dyDescent="0.25">
      <c r="A7">
        <v>1</v>
      </c>
      <c r="B7" t="s">
        <v>135</v>
      </c>
      <c r="C7" t="s">
        <v>132</v>
      </c>
      <c r="D7">
        <v>10</v>
      </c>
      <c r="E7">
        <v>1</v>
      </c>
      <c r="F7" t="s">
        <v>9</v>
      </c>
      <c r="G7" t="s">
        <v>10</v>
      </c>
      <c r="H7" t="s">
        <v>11</v>
      </c>
      <c r="I7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E40A-09F6-4CEF-AE68-DFBD89294071}">
  <dimension ref="A1:C3"/>
  <sheetViews>
    <sheetView workbookViewId="0">
      <selection activeCell="H24" sqref="H24"/>
    </sheetView>
  </sheetViews>
  <sheetFormatPr baseColWidth="10" defaultRowHeight="15" x14ac:dyDescent="0.25"/>
  <cols>
    <col min="1" max="1" width="11.85546875" bestFit="1" customWidth="1"/>
    <col min="2" max="2" width="11.7109375" bestFit="1" customWidth="1"/>
    <col min="3" max="3" width="11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0AD7-1DD3-419F-A164-EFDD17C77ACE}">
  <dimension ref="A1:U30"/>
  <sheetViews>
    <sheetView tabSelected="1" topLeftCell="N1" workbookViewId="0">
      <selection sqref="A1:U18"/>
    </sheetView>
  </sheetViews>
  <sheetFormatPr baseColWidth="10" defaultRowHeight="15" x14ac:dyDescent="0.25"/>
  <cols>
    <col min="1" max="1" width="5" bestFit="1" customWidth="1"/>
    <col min="2" max="2" width="14" bestFit="1" customWidth="1"/>
    <col min="3" max="3" width="12.28515625" bestFit="1" customWidth="1"/>
    <col min="4" max="4" width="13.7109375" bestFit="1" customWidth="1"/>
    <col min="5" max="5" width="15.42578125" bestFit="1" customWidth="1"/>
    <col min="6" max="6" width="17.42578125" bestFit="1" customWidth="1"/>
    <col min="7" max="7" width="16.5703125" bestFit="1" customWidth="1"/>
    <col min="8" max="8" width="14" bestFit="1" customWidth="1"/>
    <col min="9" max="9" width="15.140625" bestFit="1" customWidth="1"/>
    <col min="10" max="10" width="19.140625" bestFit="1" customWidth="1"/>
    <col min="11" max="11" width="20.140625" bestFit="1" customWidth="1"/>
    <col min="12" max="13" width="13.28515625" bestFit="1" customWidth="1"/>
    <col min="14" max="14" width="27.5703125" bestFit="1" customWidth="1"/>
    <col min="15" max="16" width="12.5703125" bestFit="1" customWidth="1"/>
    <col min="17" max="17" width="12.42578125" bestFit="1" customWidth="1"/>
    <col min="18" max="18" width="41" bestFit="1" customWidth="1"/>
    <col min="19" max="19" width="15.7109375" bestFit="1" customWidth="1"/>
    <col min="20" max="20" width="68.42578125" bestFit="1" customWidth="1"/>
    <col min="21" max="21" width="15.42578125" bestFit="1" customWidth="1"/>
  </cols>
  <sheetData>
    <row r="1" spans="1:21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</row>
    <row r="2" spans="1:21" x14ac:dyDescent="0.25">
      <c r="A2">
        <v>1</v>
      </c>
      <c r="B2">
        <v>1</v>
      </c>
      <c r="C2">
        <v>1</v>
      </c>
      <c r="D2" t="s">
        <v>80</v>
      </c>
      <c r="E2">
        <v>3</v>
      </c>
      <c r="G2" t="s">
        <v>26</v>
      </c>
      <c r="I2">
        <v>1</v>
      </c>
      <c r="J2" t="s">
        <v>12</v>
      </c>
      <c r="K2" t="s">
        <v>12</v>
      </c>
      <c r="L2">
        <v>0</v>
      </c>
      <c r="M2">
        <v>0</v>
      </c>
      <c r="N2" t="s">
        <v>81</v>
      </c>
      <c r="O2">
        <v>90</v>
      </c>
      <c r="P2">
        <v>0</v>
      </c>
      <c r="Q2">
        <v>0</v>
      </c>
      <c r="R2" t="s">
        <v>82</v>
      </c>
      <c r="S2" t="s">
        <v>83</v>
      </c>
      <c r="T2" t="s">
        <v>84</v>
      </c>
      <c r="U2">
        <v>1</v>
      </c>
    </row>
    <row r="3" spans="1:21" x14ac:dyDescent="0.25">
      <c r="A3">
        <v>2</v>
      </c>
      <c r="B3">
        <v>1</v>
      </c>
      <c r="C3">
        <v>2</v>
      </c>
      <c r="D3" t="s">
        <v>80</v>
      </c>
      <c r="E3">
        <v>4</v>
      </c>
      <c r="G3" t="s">
        <v>28</v>
      </c>
      <c r="I3">
        <v>1</v>
      </c>
      <c r="J3" t="s">
        <v>12</v>
      </c>
      <c r="K3" t="s">
        <v>12</v>
      </c>
      <c r="L3">
        <v>0</v>
      </c>
      <c r="M3">
        <v>0</v>
      </c>
      <c r="N3" t="s">
        <v>85</v>
      </c>
      <c r="O3">
        <v>90</v>
      </c>
      <c r="P3">
        <v>0</v>
      </c>
      <c r="Q3">
        <v>0</v>
      </c>
      <c r="R3" t="s">
        <v>86</v>
      </c>
      <c r="S3" t="s">
        <v>83</v>
      </c>
      <c r="T3" t="s">
        <v>84</v>
      </c>
      <c r="U3">
        <v>1</v>
      </c>
    </row>
    <row r="4" spans="1:21" x14ac:dyDescent="0.25">
      <c r="A4">
        <v>3</v>
      </c>
      <c r="B4">
        <v>2</v>
      </c>
      <c r="C4">
        <v>1</v>
      </c>
      <c r="D4" t="s">
        <v>80</v>
      </c>
      <c r="E4">
        <v>1</v>
      </c>
      <c r="G4" t="s">
        <v>24</v>
      </c>
      <c r="I4">
        <v>1</v>
      </c>
      <c r="J4" t="s">
        <v>12</v>
      </c>
      <c r="K4" t="s">
        <v>12</v>
      </c>
      <c r="L4">
        <v>0</v>
      </c>
      <c r="M4">
        <v>0</v>
      </c>
      <c r="N4">
        <v>0</v>
      </c>
      <c r="O4">
        <v>0</v>
      </c>
      <c r="P4">
        <v>0</v>
      </c>
      <c r="Q4">
        <v>180</v>
      </c>
      <c r="R4" t="s">
        <v>108</v>
      </c>
      <c r="S4" t="s">
        <v>83</v>
      </c>
      <c r="T4" t="s">
        <v>87</v>
      </c>
      <c r="U4">
        <v>1</v>
      </c>
    </row>
    <row r="5" spans="1:21" x14ac:dyDescent="0.25">
      <c r="A5">
        <v>4</v>
      </c>
      <c r="B5">
        <v>2</v>
      </c>
      <c r="C5">
        <v>2</v>
      </c>
      <c r="D5" t="s">
        <v>80</v>
      </c>
      <c r="E5">
        <v>2</v>
      </c>
      <c r="G5" t="s">
        <v>26</v>
      </c>
      <c r="I5">
        <v>1</v>
      </c>
      <c r="J5" t="s">
        <v>12</v>
      </c>
      <c r="K5" t="s">
        <v>12</v>
      </c>
      <c r="L5">
        <v>0</v>
      </c>
      <c r="M5">
        <v>0</v>
      </c>
      <c r="N5" t="s">
        <v>99</v>
      </c>
      <c r="O5">
        <v>90</v>
      </c>
      <c r="P5">
        <v>0</v>
      </c>
      <c r="Q5">
        <v>180</v>
      </c>
      <c r="R5" t="s">
        <v>88</v>
      </c>
      <c r="S5" t="s">
        <v>83</v>
      </c>
      <c r="T5" t="s">
        <v>89</v>
      </c>
      <c r="U5">
        <v>1</v>
      </c>
    </row>
    <row r="6" spans="1:21" x14ac:dyDescent="0.25">
      <c r="A6">
        <v>5</v>
      </c>
      <c r="B6">
        <v>2</v>
      </c>
      <c r="C6">
        <v>3</v>
      </c>
      <c r="D6" t="s">
        <v>90</v>
      </c>
      <c r="F6">
        <v>1</v>
      </c>
      <c r="G6" t="s">
        <v>91</v>
      </c>
      <c r="I6">
        <v>1</v>
      </c>
      <c r="J6" t="s">
        <v>12</v>
      </c>
      <c r="K6" t="s">
        <v>12</v>
      </c>
      <c r="L6">
        <v>0</v>
      </c>
      <c r="M6">
        <v>0</v>
      </c>
      <c r="N6" t="s">
        <v>100</v>
      </c>
      <c r="O6">
        <v>0</v>
      </c>
      <c r="P6">
        <v>0</v>
      </c>
      <c r="Q6">
        <v>0</v>
      </c>
      <c r="R6" t="s">
        <v>83</v>
      </c>
      <c r="S6" t="s">
        <v>83</v>
      </c>
      <c r="T6" t="s">
        <v>83</v>
      </c>
      <c r="U6">
        <v>1</v>
      </c>
    </row>
    <row r="7" spans="1:21" x14ac:dyDescent="0.25">
      <c r="A7">
        <v>6</v>
      </c>
      <c r="B7">
        <v>3</v>
      </c>
      <c r="C7">
        <v>1</v>
      </c>
      <c r="D7" t="s">
        <v>80</v>
      </c>
      <c r="E7">
        <v>1</v>
      </c>
      <c r="G7" t="s">
        <v>24</v>
      </c>
      <c r="I7">
        <v>1</v>
      </c>
      <c r="J7" t="s">
        <v>12</v>
      </c>
      <c r="K7" t="s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180</v>
      </c>
      <c r="R7" t="s">
        <v>98</v>
      </c>
      <c r="S7" t="s">
        <v>83</v>
      </c>
      <c r="T7" t="s">
        <v>87</v>
      </c>
      <c r="U7">
        <v>1</v>
      </c>
    </row>
    <row r="8" spans="1:21" x14ac:dyDescent="0.25">
      <c r="A8">
        <v>7</v>
      </c>
      <c r="B8">
        <v>3</v>
      </c>
      <c r="C8">
        <v>2</v>
      </c>
      <c r="D8" t="s">
        <v>80</v>
      </c>
      <c r="E8">
        <v>2</v>
      </c>
      <c r="G8" t="s">
        <v>26</v>
      </c>
      <c r="I8">
        <v>1</v>
      </c>
      <c r="J8" t="s">
        <v>12</v>
      </c>
      <c r="K8" t="s">
        <v>12</v>
      </c>
      <c r="L8">
        <v>0</v>
      </c>
      <c r="M8">
        <v>0</v>
      </c>
      <c r="N8" t="s">
        <v>99</v>
      </c>
      <c r="O8">
        <v>90</v>
      </c>
      <c r="P8">
        <v>0</v>
      </c>
      <c r="Q8">
        <v>180</v>
      </c>
      <c r="R8" t="s">
        <v>88</v>
      </c>
      <c r="S8" t="s">
        <v>83</v>
      </c>
      <c r="T8" t="s">
        <v>89</v>
      </c>
      <c r="U8">
        <v>1</v>
      </c>
    </row>
    <row r="9" spans="1:21" x14ac:dyDescent="0.25">
      <c r="A9">
        <v>8</v>
      </c>
      <c r="B9">
        <v>3</v>
      </c>
      <c r="C9">
        <v>3</v>
      </c>
      <c r="D9" t="s">
        <v>90</v>
      </c>
      <c r="F9">
        <v>1</v>
      </c>
      <c r="G9" t="s">
        <v>91</v>
      </c>
      <c r="I9">
        <v>1</v>
      </c>
      <c r="J9" t="s">
        <v>12</v>
      </c>
      <c r="K9" t="s">
        <v>12</v>
      </c>
      <c r="L9">
        <v>0</v>
      </c>
      <c r="M9">
        <v>0</v>
      </c>
      <c r="N9" t="s">
        <v>100</v>
      </c>
      <c r="O9">
        <v>0</v>
      </c>
      <c r="P9">
        <v>0</v>
      </c>
      <c r="Q9">
        <v>0</v>
      </c>
      <c r="R9" t="s">
        <v>83</v>
      </c>
      <c r="S9" t="s">
        <v>83</v>
      </c>
      <c r="T9" t="s">
        <v>83</v>
      </c>
      <c r="U9">
        <v>1</v>
      </c>
    </row>
    <row r="10" spans="1:21" x14ac:dyDescent="0.25">
      <c r="A10">
        <v>9</v>
      </c>
      <c r="B10">
        <v>4</v>
      </c>
      <c r="C10">
        <v>1</v>
      </c>
      <c r="D10" t="s">
        <v>80</v>
      </c>
      <c r="E10">
        <v>1</v>
      </c>
      <c r="G10" t="s">
        <v>24</v>
      </c>
      <c r="I10">
        <v>1</v>
      </c>
      <c r="J10" t="s">
        <v>12</v>
      </c>
      <c r="K10" t="s">
        <v>12</v>
      </c>
      <c r="L10">
        <v>0</v>
      </c>
      <c r="M10">
        <v>0</v>
      </c>
      <c r="N10">
        <v>0</v>
      </c>
      <c r="O10">
        <v>0</v>
      </c>
      <c r="P10">
        <v>0</v>
      </c>
      <c r="Q10">
        <v>180</v>
      </c>
      <c r="R10" t="s">
        <v>109</v>
      </c>
      <c r="S10" t="s">
        <v>83</v>
      </c>
      <c r="T10" t="s">
        <v>87</v>
      </c>
      <c r="U10">
        <v>1</v>
      </c>
    </row>
    <row r="11" spans="1:21" x14ac:dyDescent="0.25">
      <c r="A11">
        <v>10</v>
      </c>
      <c r="B11">
        <v>4</v>
      </c>
      <c r="C11">
        <v>2</v>
      </c>
      <c r="D11" t="s">
        <v>80</v>
      </c>
      <c r="E11">
        <v>2</v>
      </c>
      <c r="G11" t="s">
        <v>26</v>
      </c>
      <c r="I11">
        <v>1</v>
      </c>
      <c r="J11" t="s">
        <v>12</v>
      </c>
      <c r="K11" t="s">
        <v>12</v>
      </c>
      <c r="L11">
        <v>0</v>
      </c>
      <c r="M11">
        <v>0</v>
      </c>
      <c r="N11" t="s">
        <v>99</v>
      </c>
      <c r="O11">
        <v>90</v>
      </c>
      <c r="P11">
        <v>0</v>
      </c>
      <c r="Q11">
        <v>180</v>
      </c>
      <c r="R11" t="s">
        <v>88</v>
      </c>
      <c r="S11" t="s">
        <v>83</v>
      </c>
      <c r="T11" t="s">
        <v>89</v>
      </c>
      <c r="U11">
        <v>1</v>
      </c>
    </row>
    <row r="12" spans="1:21" x14ac:dyDescent="0.25">
      <c r="A12">
        <v>11</v>
      </c>
      <c r="B12">
        <v>4</v>
      </c>
      <c r="C12">
        <v>3</v>
      </c>
      <c r="D12" t="s">
        <v>90</v>
      </c>
      <c r="F12">
        <v>1</v>
      </c>
      <c r="G12" t="s">
        <v>91</v>
      </c>
      <c r="I12">
        <v>1</v>
      </c>
      <c r="J12" t="s">
        <v>12</v>
      </c>
      <c r="K12" t="s">
        <v>12</v>
      </c>
      <c r="L12">
        <v>0</v>
      </c>
      <c r="M12">
        <v>0</v>
      </c>
      <c r="N12" t="s">
        <v>100</v>
      </c>
      <c r="O12">
        <v>0</v>
      </c>
      <c r="P12">
        <v>0</v>
      </c>
      <c r="Q12">
        <v>0</v>
      </c>
      <c r="R12" t="s">
        <v>83</v>
      </c>
      <c r="S12" t="s">
        <v>83</v>
      </c>
      <c r="T12" t="s">
        <v>83</v>
      </c>
      <c r="U12">
        <v>1</v>
      </c>
    </row>
    <row r="13" spans="1:21" x14ac:dyDescent="0.25">
      <c r="A13">
        <v>12</v>
      </c>
      <c r="B13">
        <v>5</v>
      </c>
      <c r="C13">
        <v>1</v>
      </c>
      <c r="D13" t="s">
        <v>90</v>
      </c>
      <c r="F13">
        <v>2</v>
      </c>
      <c r="G13" t="s">
        <v>48</v>
      </c>
      <c r="I13">
        <v>1</v>
      </c>
      <c r="J13" t="s">
        <v>12</v>
      </c>
      <c r="K13" t="s">
        <v>12</v>
      </c>
      <c r="L13">
        <v>0</v>
      </c>
      <c r="M13">
        <v>0</v>
      </c>
      <c r="N13" t="s">
        <v>81</v>
      </c>
      <c r="O13">
        <v>0</v>
      </c>
      <c r="P13">
        <v>0</v>
      </c>
      <c r="Q13">
        <v>0</v>
      </c>
      <c r="R13" t="s">
        <v>83</v>
      </c>
      <c r="S13" t="s">
        <v>83</v>
      </c>
      <c r="T13" t="s">
        <v>83</v>
      </c>
      <c r="U13">
        <v>1</v>
      </c>
    </row>
    <row r="14" spans="1:21" x14ac:dyDescent="0.25">
      <c r="A14">
        <v>13</v>
      </c>
      <c r="B14">
        <v>6</v>
      </c>
      <c r="C14">
        <v>1</v>
      </c>
      <c r="D14" t="s">
        <v>90</v>
      </c>
      <c r="F14">
        <v>2</v>
      </c>
      <c r="G14" t="s">
        <v>48</v>
      </c>
      <c r="H14">
        <v>2</v>
      </c>
      <c r="I14">
        <v>1</v>
      </c>
      <c r="J14" t="s">
        <v>12</v>
      </c>
      <c r="K14" t="s">
        <v>12</v>
      </c>
      <c r="L14">
        <v>0</v>
      </c>
      <c r="M14">
        <v>0</v>
      </c>
      <c r="N14" t="s">
        <v>81</v>
      </c>
      <c r="O14">
        <v>0</v>
      </c>
      <c r="P14">
        <v>0</v>
      </c>
      <c r="Q14">
        <v>0</v>
      </c>
      <c r="R14" t="s">
        <v>83</v>
      </c>
      <c r="S14" t="s">
        <v>83</v>
      </c>
      <c r="T14" t="s">
        <v>83</v>
      </c>
      <c r="U14">
        <v>1</v>
      </c>
    </row>
    <row r="15" spans="1:21" x14ac:dyDescent="0.25">
      <c r="A15">
        <v>14</v>
      </c>
      <c r="B15">
        <v>7</v>
      </c>
      <c r="C15">
        <v>1</v>
      </c>
      <c r="D15" t="s">
        <v>90</v>
      </c>
      <c r="F15">
        <v>2</v>
      </c>
      <c r="G15" t="s">
        <v>48</v>
      </c>
      <c r="H15">
        <v>3</v>
      </c>
      <c r="I15">
        <v>1</v>
      </c>
      <c r="J15" t="s">
        <v>12</v>
      </c>
      <c r="K15" t="s">
        <v>12</v>
      </c>
      <c r="L15">
        <v>0</v>
      </c>
      <c r="M15">
        <v>0</v>
      </c>
      <c r="N15" t="s">
        <v>81</v>
      </c>
      <c r="O15">
        <v>0</v>
      </c>
      <c r="P15">
        <v>0</v>
      </c>
      <c r="Q15">
        <v>0</v>
      </c>
      <c r="R15" t="s">
        <v>83</v>
      </c>
      <c r="S15" t="s">
        <v>83</v>
      </c>
      <c r="T15" t="s">
        <v>83</v>
      </c>
      <c r="U15">
        <v>1</v>
      </c>
    </row>
    <row r="16" spans="1:21" x14ac:dyDescent="0.25">
      <c r="A16">
        <v>15</v>
      </c>
      <c r="B16">
        <v>8</v>
      </c>
      <c r="C16">
        <v>1</v>
      </c>
      <c r="D16" t="s">
        <v>90</v>
      </c>
      <c r="F16">
        <v>2</v>
      </c>
      <c r="G16" t="s">
        <v>48</v>
      </c>
      <c r="H16">
        <v>4</v>
      </c>
      <c r="I16">
        <v>1</v>
      </c>
      <c r="J16" t="s">
        <v>12</v>
      </c>
      <c r="K16" t="s">
        <v>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83</v>
      </c>
      <c r="S16" t="s">
        <v>83</v>
      </c>
      <c r="T16" t="s">
        <v>83</v>
      </c>
      <c r="U16">
        <v>1</v>
      </c>
    </row>
    <row r="17" spans="1:21" x14ac:dyDescent="0.25">
      <c r="A17">
        <v>16</v>
      </c>
      <c r="B17">
        <v>9</v>
      </c>
      <c r="C17">
        <v>1</v>
      </c>
      <c r="D17" t="s">
        <v>90</v>
      </c>
      <c r="F17">
        <v>2</v>
      </c>
      <c r="G17" t="s">
        <v>48</v>
      </c>
      <c r="H17">
        <v>5</v>
      </c>
      <c r="I17">
        <v>1</v>
      </c>
      <c r="J17" t="s">
        <v>12</v>
      </c>
      <c r="K17" t="s">
        <v>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83</v>
      </c>
      <c r="S17" t="s">
        <v>83</v>
      </c>
      <c r="T17" t="s">
        <v>83</v>
      </c>
      <c r="U17">
        <v>1</v>
      </c>
    </row>
    <row r="18" spans="1:21" x14ac:dyDescent="0.25">
      <c r="A18">
        <v>17</v>
      </c>
      <c r="B18">
        <v>10</v>
      </c>
      <c r="C18">
        <v>1</v>
      </c>
      <c r="D18" t="s">
        <v>90</v>
      </c>
      <c r="F18">
        <v>2</v>
      </c>
      <c r="G18" t="s">
        <v>48</v>
      </c>
      <c r="H18">
        <v>6</v>
      </c>
      <c r="I18">
        <v>1</v>
      </c>
      <c r="J18" t="s">
        <v>12</v>
      </c>
      <c r="K18" t="s">
        <v>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83</v>
      </c>
      <c r="S18" t="s">
        <v>83</v>
      </c>
      <c r="T18" t="s">
        <v>83</v>
      </c>
      <c r="U18">
        <v>1</v>
      </c>
    </row>
    <row r="30" spans="1:21" x14ac:dyDescent="0.25">
      <c r="F30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BAF4-9AB0-49E1-BC93-2A350EE3F596}">
  <dimension ref="A1:G23"/>
  <sheetViews>
    <sheetView workbookViewId="0">
      <selection activeCell="G18" sqref="G18:G23"/>
    </sheetView>
  </sheetViews>
  <sheetFormatPr baseColWidth="10" defaultRowHeight="15" x14ac:dyDescent="0.25"/>
  <cols>
    <col min="1" max="1" width="5" bestFit="1" customWidth="1"/>
    <col min="2" max="2" width="20.140625" customWidth="1"/>
    <col min="3" max="3" width="17.85546875" bestFit="1" customWidth="1"/>
    <col min="4" max="4" width="10" bestFit="1" customWidth="1"/>
    <col min="5" max="5" width="19.42578125" bestFit="1" customWidth="1"/>
    <col min="6" max="6" width="22.7109375" bestFit="1" customWidth="1"/>
    <col min="7" max="7" width="14.42578125" bestFit="1" customWidth="1"/>
  </cols>
  <sheetData>
    <row r="1" spans="1:7" x14ac:dyDescent="0.25">
      <c r="A1" t="s">
        <v>0</v>
      </c>
      <c r="B1" t="s">
        <v>53</v>
      </c>
      <c r="C1" t="s">
        <v>2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25">
      <c r="A2">
        <f>ROW() - ROW(template[[#Headers],[id]])</f>
        <v>1</v>
      </c>
      <c r="B2" t="s">
        <v>58</v>
      </c>
      <c r="C2" t="s">
        <v>59</v>
      </c>
      <c r="D2">
        <v>1</v>
      </c>
      <c r="E2">
        <v>1</v>
      </c>
      <c r="F2">
        <v>0</v>
      </c>
      <c r="G2" s="1">
        <f ca="1">TODAY()</f>
        <v>46035</v>
      </c>
    </row>
    <row r="3" spans="1:7" x14ac:dyDescent="0.25">
      <c r="A3">
        <f>ROW() - ROW(template[[#Headers],[id]])</f>
        <v>2</v>
      </c>
      <c r="B3" t="s">
        <v>92</v>
      </c>
      <c r="C3" t="s">
        <v>93</v>
      </c>
      <c r="D3">
        <v>1</v>
      </c>
      <c r="E3">
        <v>1</v>
      </c>
      <c r="F3">
        <v>0</v>
      </c>
      <c r="G3" s="1">
        <f t="shared" ref="G3:G23" ca="1" si="0">TODAY()</f>
        <v>46035</v>
      </c>
    </row>
    <row r="4" spans="1:7" x14ac:dyDescent="0.25">
      <c r="A4">
        <f>ROW() - ROW(template[[#Headers],[id]])</f>
        <v>3</v>
      </c>
      <c r="B4" t="s">
        <v>94</v>
      </c>
      <c r="C4" t="s">
        <v>96</v>
      </c>
      <c r="D4">
        <v>1</v>
      </c>
      <c r="E4">
        <v>1</v>
      </c>
      <c r="F4">
        <v>0</v>
      </c>
      <c r="G4" s="1">
        <f t="shared" ca="1" si="0"/>
        <v>46035</v>
      </c>
    </row>
    <row r="5" spans="1:7" x14ac:dyDescent="0.25">
      <c r="A5">
        <f>ROW() - ROW(template[[#Headers],[id]])</f>
        <v>4</v>
      </c>
      <c r="B5" t="s">
        <v>95</v>
      </c>
      <c r="C5" t="s">
        <v>97</v>
      </c>
      <c r="D5">
        <v>1</v>
      </c>
      <c r="E5">
        <v>1</v>
      </c>
      <c r="F5">
        <v>0</v>
      </c>
      <c r="G5" s="1">
        <f t="shared" ca="1" si="0"/>
        <v>46035</v>
      </c>
    </row>
    <row r="6" spans="1:7" x14ac:dyDescent="0.25">
      <c r="A6">
        <f>ROW() - ROW(template[[#Headers],[id]])</f>
        <v>5</v>
      </c>
      <c r="B6" t="s">
        <v>110</v>
      </c>
      <c r="C6" t="s">
        <v>104</v>
      </c>
      <c r="D6">
        <v>1</v>
      </c>
      <c r="E6">
        <v>1</v>
      </c>
      <c r="F6">
        <v>0</v>
      </c>
      <c r="G6" s="1">
        <f t="shared" ca="1" si="0"/>
        <v>46035</v>
      </c>
    </row>
    <row r="7" spans="1:7" x14ac:dyDescent="0.25">
      <c r="A7">
        <f>ROW() - ROW(template[[#Headers],[id]])</f>
        <v>6</v>
      </c>
      <c r="B7" t="s">
        <v>111</v>
      </c>
      <c r="C7" t="s">
        <v>103</v>
      </c>
      <c r="D7">
        <v>1</v>
      </c>
      <c r="E7">
        <v>1</v>
      </c>
      <c r="F7">
        <v>0</v>
      </c>
      <c r="G7" s="1">
        <f t="shared" ca="1" si="0"/>
        <v>46035</v>
      </c>
    </row>
    <row r="8" spans="1:7" x14ac:dyDescent="0.25">
      <c r="A8">
        <f>ROW() - ROW(template[[#Headers],[id]])</f>
        <v>7</v>
      </c>
      <c r="B8" t="s">
        <v>112</v>
      </c>
      <c r="C8" t="s">
        <v>102</v>
      </c>
      <c r="D8">
        <v>1</v>
      </c>
      <c r="E8">
        <v>1</v>
      </c>
      <c r="F8">
        <v>0</v>
      </c>
      <c r="G8" s="1">
        <f t="shared" ca="1" si="0"/>
        <v>46035</v>
      </c>
    </row>
    <row r="9" spans="1:7" x14ac:dyDescent="0.25">
      <c r="A9">
        <f>ROW() - ROW(template[[#Headers],[id]])</f>
        <v>8</v>
      </c>
      <c r="B9" t="s">
        <v>113</v>
      </c>
      <c r="C9" t="s">
        <v>105</v>
      </c>
      <c r="D9">
        <v>1</v>
      </c>
      <c r="E9">
        <v>1</v>
      </c>
      <c r="F9">
        <v>0</v>
      </c>
      <c r="G9" s="1">
        <f t="shared" ca="1" si="0"/>
        <v>46035</v>
      </c>
    </row>
    <row r="10" spans="1:7" x14ac:dyDescent="0.25">
      <c r="A10">
        <f>ROW() - ROW(template[[#Headers],[id]])</f>
        <v>9</v>
      </c>
      <c r="B10" t="s">
        <v>114</v>
      </c>
      <c r="C10" t="s">
        <v>106</v>
      </c>
      <c r="D10">
        <v>1</v>
      </c>
      <c r="E10">
        <v>1</v>
      </c>
      <c r="F10">
        <v>0</v>
      </c>
      <c r="G10" s="1">
        <f t="shared" ca="1" si="0"/>
        <v>46035</v>
      </c>
    </row>
    <row r="11" spans="1:7" x14ac:dyDescent="0.25">
      <c r="A11">
        <f>ROW() - ROW(template[[#Headers],[id]])</f>
        <v>10</v>
      </c>
      <c r="B11" t="s">
        <v>115</v>
      </c>
      <c r="C11" t="s">
        <v>107</v>
      </c>
      <c r="D11">
        <v>1</v>
      </c>
      <c r="E11">
        <v>1</v>
      </c>
      <c r="F11">
        <v>0</v>
      </c>
      <c r="G11" s="1">
        <f t="shared" ca="1" si="0"/>
        <v>46035</v>
      </c>
    </row>
    <row r="12" spans="1:7" x14ac:dyDescent="0.25">
      <c r="A12">
        <f>ROW() - ROW(template[[#Headers],[id]])</f>
        <v>11</v>
      </c>
      <c r="B12" t="s">
        <v>116</v>
      </c>
      <c r="C12" t="s">
        <v>104</v>
      </c>
      <c r="D12">
        <v>1</v>
      </c>
      <c r="E12">
        <v>1</v>
      </c>
      <c r="F12">
        <v>0</v>
      </c>
      <c r="G12" s="1">
        <f t="shared" ca="1" si="0"/>
        <v>46035</v>
      </c>
    </row>
    <row r="13" spans="1:7" x14ac:dyDescent="0.25">
      <c r="A13">
        <f>ROW() - ROW(template[[#Headers],[id]])</f>
        <v>12</v>
      </c>
      <c r="B13" t="s">
        <v>117</v>
      </c>
      <c r="C13" t="s">
        <v>103</v>
      </c>
      <c r="D13">
        <v>1</v>
      </c>
      <c r="E13">
        <v>1</v>
      </c>
      <c r="F13">
        <v>0</v>
      </c>
      <c r="G13" s="1">
        <f t="shared" ca="1" si="0"/>
        <v>46035</v>
      </c>
    </row>
    <row r="14" spans="1:7" x14ac:dyDescent="0.25">
      <c r="A14">
        <f>ROW() - ROW(template[[#Headers],[id]])</f>
        <v>13</v>
      </c>
      <c r="B14" t="s">
        <v>118</v>
      </c>
      <c r="C14" t="s">
        <v>102</v>
      </c>
      <c r="D14">
        <v>1</v>
      </c>
      <c r="E14">
        <v>1</v>
      </c>
      <c r="F14">
        <v>0</v>
      </c>
      <c r="G14" s="1">
        <f t="shared" ca="1" si="0"/>
        <v>46035</v>
      </c>
    </row>
    <row r="15" spans="1:7" x14ac:dyDescent="0.25">
      <c r="A15">
        <f>ROW() - ROW(template[[#Headers],[id]])</f>
        <v>14</v>
      </c>
      <c r="B15" t="s">
        <v>119</v>
      </c>
      <c r="C15" t="s">
        <v>105</v>
      </c>
      <c r="D15">
        <v>1</v>
      </c>
      <c r="E15">
        <v>1</v>
      </c>
      <c r="F15">
        <v>0</v>
      </c>
      <c r="G15" s="1">
        <f t="shared" ca="1" si="0"/>
        <v>46035</v>
      </c>
    </row>
    <row r="16" spans="1:7" x14ac:dyDescent="0.25">
      <c r="A16">
        <f>ROW() - ROW(template[[#Headers],[id]])</f>
        <v>15</v>
      </c>
      <c r="B16" t="s">
        <v>120</v>
      </c>
      <c r="C16" t="s">
        <v>106</v>
      </c>
      <c r="D16">
        <v>1</v>
      </c>
      <c r="E16">
        <v>1</v>
      </c>
      <c r="F16">
        <v>0</v>
      </c>
      <c r="G16" s="1">
        <f t="shared" ca="1" si="0"/>
        <v>46035</v>
      </c>
    </row>
    <row r="17" spans="1:7" x14ac:dyDescent="0.25">
      <c r="A17">
        <f>ROW() - ROW(template[[#Headers],[id]])</f>
        <v>16</v>
      </c>
      <c r="B17" t="s">
        <v>121</v>
      </c>
      <c r="C17" t="s">
        <v>107</v>
      </c>
      <c r="D17">
        <v>1</v>
      </c>
      <c r="E17">
        <v>1</v>
      </c>
      <c r="F17">
        <v>0</v>
      </c>
      <c r="G17" s="1">
        <f t="shared" ca="1" si="0"/>
        <v>46035</v>
      </c>
    </row>
    <row r="18" spans="1:7" x14ac:dyDescent="0.25">
      <c r="A18">
        <v>17</v>
      </c>
      <c r="B18" t="s">
        <v>122</v>
      </c>
      <c r="C18" t="s">
        <v>104</v>
      </c>
      <c r="D18">
        <v>1</v>
      </c>
      <c r="E18">
        <v>1</v>
      </c>
      <c r="F18">
        <v>0</v>
      </c>
      <c r="G18" s="3">
        <f t="shared" ca="1" si="0"/>
        <v>46035</v>
      </c>
    </row>
    <row r="19" spans="1:7" x14ac:dyDescent="0.25">
      <c r="A19">
        <v>18</v>
      </c>
      <c r="B19" t="s">
        <v>123</v>
      </c>
      <c r="C19" t="s">
        <v>103</v>
      </c>
      <c r="D19">
        <v>1</v>
      </c>
      <c r="E19">
        <v>1</v>
      </c>
      <c r="F19">
        <v>0</v>
      </c>
      <c r="G19" s="3">
        <f t="shared" ca="1" si="0"/>
        <v>46035</v>
      </c>
    </row>
    <row r="20" spans="1:7" x14ac:dyDescent="0.25">
      <c r="A20">
        <v>19</v>
      </c>
      <c r="B20" t="s">
        <v>124</v>
      </c>
      <c r="C20" t="s">
        <v>102</v>
      </c>
      <c r="D20">
        <v>1</v>
      </c>
      <c r="E20">
        <v>1</v>
      </c>
      <c r="F20">
        <v>0</v>
      </c>
      <c r="G20" s="3">
        <f t="shared" ca="1" si="0"/>
        <v>46035</v>
      </c>
    </row>
    <row r="21" spans="1:7" x14ac:dyDescent="0.25">
      <c r="A21">
        <v>20</v>
      </c>
      <c r="B21" t="s">
        <v>125</v>
      </c>
      <c r="C21" t="s">
        <v>105</v>
      </c>
      <c r="D21">
        <v>1</v>
      </c>
      <c r="E21">
        <v>1</v>
      </c>
      <c r="F21">
        <v>0</v>
      </c>
      <c r="G21" s="3">
        <f t="shared" ca="1" si="0"/>
        <v>46035</v>
      </c>
    </row>
    <row r="22" spans="1:7" x14ac:dyDescent="0.25">
      <c r="A22">
        <v>21</v>
      </c>
      <c r="B22" t="s">
        <v>126</v>
      </c>
      <c r="C22" t="s">
        <v>106</v>
      </c>
      <c r="D22">
        <v>1</v>
      </c>
      <c r="E22">
        <v>1</v>
      </c>
      <c r="F22">
        <v>0</v>
      </c>
      <c r="G22" s="3">
        <f t="shared" ca="1" si="0"/>
        <v>46035</v>
      </c>
    </row>
    <row r="23" spans="1:7" x14ac:dyDescent="0.25">
      <c r="A23">
        <v>22</v>
      </c>
      <c r="B23" t="s">
        <v>127</v>
      </c>
      <c r="C23" t="s">
        <v>107</v>
      </c>
      <c r="D23">
        <v>1</v>
      </c>
      <c r="E23">
        <v>1</v>
      </c>
      <c r="F23">
        <v>0</v>
      </c>
      <c r="G23" s="3">
        <f t="shared" ca="1" si="0"/>
        <v>46035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611C-FDDF-4F9B-A04A-BA6139C2C65D}">
  <dimension ref="A1:L6"/>
  <sheetViews>
    <sheetView workbookViewId="0">
      <selection activeCell="I14" sqref="I14"/>
    </sheetView>
  </sheetViews>
  <sheetFormatPr baseColWidth="10" defaultRowHeight="15" x14ac:dyDescent="0.25"/>
  <cols>
    <col min="1" max="1" width="5" bestFit="1" customWidth="1"/>
    <col min="2" max="2" width="20.5703125" bestFit="1" customWidth="1"/>
    <col min="3" max="3" width="18.85546875" bestFit="1" customWidth="1"/>
    <col min="4" max="4" width="11.7109375" bestFit="1" customWidth="1"/>
    <col min="5" max="5" width="6.85546875" bestFit="1" customWidth="1"/>
    <col min="7" max="7" width="15" bestFit="1" customWidth="1"/>
    <col min="8" max="8" width="18.7109375" bestFit="1" customWidth="1"/>
    <col min="9" max="9" width="15.7109375" bestFit="1" customWidth="1"/>
    <col min="10" max="10" width="16.140625" bestFit="1" customWidth="1"/>
    <col min="11" max="11" width="16.7109375" bestFit="1" customWidth="1"/>
    <col min="12" max="12" width="14" bestFit="1" customWidth="1"/>
  </cols>
  <sheetData>
    <row r="1" spans="1:12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>
        <v>1</v>
      </c>
      <c r="B2">
        <v>6</v>
      </c>
      <c r="C2" t="s">
        <v>48</v>
      </c>
      <c r="D2" t="s">
        <v>49</v>
      </c>
      <c r="E2" t="s">
        <v>50</v>
      </c>
      <c r="F2">
        <v>1</v>
      </c>
      <c r="G2" t="s">
        <v>51</v>
      </c>
      <c r="H2">
        <v>0</v>
      </c>
      <c r="I2" t="s">
        <v>52</v>
      </c>
      <c r="J2">
        <v>0</v>
      </c>
      <c r="K2" t="s">
        <v>12</v>
      </c>
      <c r="L2">
        <v>0</v>
      </c>
    </row>
    <row r="3" spans="1:12" x14ac:dyDescent="0.25">
      <c r="A3">
        <v>2</v>
      </c>
      <c r="B3">
        <v>7</v>
      </c>
      <c r="C3" t="s">
        <v>48</v>
      </c>
      <c r="D3" t="s">
        <v>49</v>
      </c>
      <c r="E3" t="s">
        <v>50</v>
      </c>
      <c r="F3">
        <v>2</v>
      </c>
      <c r="G3" t="s">
        <v>51</v>
      </c>
      <c r="H3">
        <v>0</v>
      </c>
      <c r="I3" t="s">
        <v>52</v>
      </c>
      <c r="J3">
        <v>0</v>
      </c>
      <c r="K3" t="s">
        <v>12</v>
      </c>
      <c r="L3">
        <v>0</v>
      </c>
    </row>
    <row r="4" spans="1:12" x14ac:dyDescent="0.25">
      <c r="A4">
        <v>3</v>
      </c>
      <c r="B4">
        <v>8</v>
      </c>
      <c r="C4" t="s">
        <v>48</v>
      </c>
      <c r="D4" t="s">
        <v>49</v>
      </c>
      <c r="E4" t="s">
        <v>50</v>
      </c>
      <c r="F4">
        <v>3</v>
      </c>
      <c r="G4" t="s">
        <v>51</v>
      </c>
      <c r="H4">
        <v>0</v>
      </c>
      <c r="I4" t="s">
        <v>52</v>
      </c>
      <c r="J4">
        <v>0</v>
      </c>
      <c r="K4" t="s">
        <v>12</v>
      </c>
      <c r="L4">
        <v>0</v>
      </c>
    </row>
    <row r="5" spans="1:12" x14ac:dyDescent="0.25">
      <c r="A5">
        <v>4</v>
      </c>
      <c r="B5">
        <v>9</v>
      </c>
      <c r="C5" t="s">
        <v>48</v>
      </c>
      <c r="D5" t="s">
        <v>49</v>
      </c>
      <c r="E5" t="s">
        <v>50</v>
      </c>
      <c r="F5">
        <v>4</v>
      </c>
      <c r="G5" t="s">
        <v>51</v>
      </c>
      <c r="H5">
        <v>0</v>
      </c>
      <c r="I5" t="s">
        <v>52</v>
      </c>
      <c r="J5">
        <v>0</v>
      </c>
      <c r="K5" t="s">
        <v>12</v>
      </c>
      <c r="L5">
        <v>0</v>
      </c>
    </row>
    <row r="6" spans="1:12" x14ac:dyDescent="0.25">
      <c r="A6">
        <v>5</v>
      </c>
      <c r="B6">
        <v>10</v>
      </c>
      <c r="C6" t="s">
        <v>48</v>
      </c>
      <c r="D6" t="s">
        <v>49</v>
      </c>
      <c r="E6" t="s">
        <v>50</v>
      </c>
      <c r="F6">
        <v>5</v>
      </c>
      <c r="G6" t="s">
        <v>51</v>
      </c>
      <c r="H6">
        <v>0</v>
      </c>
      <c r="I6" t="s">
        <v>52</v>
      </c>
      <c r="J6">
        <v>0</v>
      </c>
      <c r="K6" t="s">
        <v>12</v>
      </c>
      <c r="L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7D9E-2A7A-4431-9FC2-462849F13CCC}">
  <dimension ref="A1:F8"/>
  <sheetViews>
    <sheetView workbookViewId="0">
      <selection activeCell="C3" sqref="C3"/>
    </sheetView>
  </sheetViews>
  <sheetFormatPr baseColWidth="10" defaultRowHeight="15" x14ac:dyDescent="0.25"/>
  <cols>
    <col min="1" max="1" width="5" bestFit="1" customWidth="1"/>
    <col min="2" max="2" width="16.140625" bestFit="1" customWidth="1"/>
    <col min="3" max="3" width="16.5703125" bestFit="1" customWidth="1"/>
    <col min="4" max="4" width="12.85546875" bestFit="1" customWidth="1"/>
    <col min="5" max="5" width="15.7109375" bestFit="1" customWidth="1"/>
    <col min="6" max="6" width="12" bestFit="1" customWidth="1"/>
  </cols>
  <sheetData>
    <row r="1" spans="1:6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21</v>
      </c>
      <c r="C2" t="s">
        <v>22</v>
      </c>
      <c r="D2">
        <v>3</v>
      </c>
      <c r="E2" t="s">
        <v>23</v>
      </c>
      <c r="F2" t="s">
        <v>12</v>
      </c>
    </row>
    <row r="3" spans="1:6" x14ac:dyDescent="0.25">
      <c r="A3">
        <v>2</v>
      </c>
      <c r="B3" t="s">
        <v>21</v>
      </c>
      <c r="C3" t="s">
        <v>24</v>
      </c>
      <c r="D3">
        <v>3</v>
      </c>
      <c r="E3" t="s">
        <v>25</v>
      </c>
      <c r="F3" t="s">
        <v>12</v>
      </c>
    </row>
    <row r="4" spans="1:6" x14ac:dyDescent="0.25">
      <c r="A4">
        <v>3</v>
      </c>
      <c r="B4" t="s">
        <v>21</v>
      </c>
      <c r="C4" t="s">
        <v>26</v>
      </c>
      <c r="D4">
        <v>3</v>
      </c>
      <c r="E4" t="s">
        <v>27</v>
      </c>
      <c r="F4" t="s">
        <v>12</v>
      </c>
    </row>
    <row r="5" spans="1:6" x14ac:dyDescent="0.25">
      <c r="A5">
        <v>4</v>
      </c>
      <c r="B5" t="s">
        <v>21</v>
      </c>
      <c r="C5" t="s">
        <v>28</v>
      </c>
      <c r="D5">
        <v>3</v>
      </c>
      <c r="E5" t="s">
        <v>27</v>
      </c>
      <c r="F5" t="s">
        <v>12</v>
      </c>
    </row>
    <row r="6" spans="1:6" x14ac:dyDescent="0.25">
      <c r="A6">
        <v>5</v>
      </c>
      <c r="B6" t="s">
        <v>29</v>
      </c>
      <c r="C6" t="s">
        <v>30</v>
      </c>
      <c r="D6">
        <v>3</v>
      </c>
      <c r="E6" t="s">
        <v>23</v>
      </c>
      <c r="F6" t="s">
        <v>12</v>
      </c>
    </row>
    <row r="7" spans="1:6" x14ac:dyDescent="0.25">
      <c r="A7">
        <v>6</v>
      </c>
      <c r="B7" t="s">
        <v>31</v>
      </c>
      <c r="C7" t="s">
        <v>32</v>
      </c>
      <c r="D7">
        <v>3</v>
      </c>
      <c r="E7" t="s">
        <v>33</v>
      </c>
      <c r="F7" t="s">
        <v>12</v>
      </c>
    </row>
    <row r="8" spans="1:6" x14ac:dyDescent="0.25">
      <c r="A8">
        <v>7</v>
      </c>
      <c r="B8" t="s">
        <v>34</v>
      </c>
      <c r="C8" t="s">
        <v>35</v>
      </c>
      <c r="D8">
        <v>2</v>
      </c>
      <c r="E8" t="s">
        <v>36</v>
      </c>
      <c r="F8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EE69B4-0545-4F14-99FE-B07A9FA41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device</vt:lpstr>
      <vt:lpstr>device_option</vt:lpstr>
      <vt:lpstr>template_item</vt:lpstr>
      <vt:lpstr>template</vt:lpstr>
      <vt:lpstr>placement_rule</vt:lpstr>
      <vt:lpstr>object_definition</vt:lpstr>
    </vt:vector>
  </TitlesOfParts>
  <Company>Carrier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LECOMTE, JOLAN</dc:creator>
  <cp:lastModifiedBy>LECOMTE, JOLAN</cp:lastModifiedBy>
  <dcterms:created xsi:type="dcterms:W3CDTF">2026-01-12T16:00:00Z</dcterms:created>
  <dcterms:modified xsi:type="dcterms:W3CDTF">2026-01-13T17:33:21Z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2026-01-12T17:36:16Z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78585063-3c5c-4197-b26a-4e6173f5f968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